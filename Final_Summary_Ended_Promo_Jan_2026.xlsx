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fha\Pak Putra\Februari\Promo\"/>
    </mc:Choice>
  </mc:AlternateContent>
  <xr:revisionPtr revIDLastSave="0" documentId="8_{6BD1E18E-8DC9-4ECB-812A-E952616131CB}" xr6:coauthVersionLast="47" xr6:coauthVersionMax="47" xr10:uidLastSave="{00000000-0000-0000-0000-000000000000}"/>
  <bookViews>
    <workbookView xWindow="-120" yWindow="-120" windowWidth="20730" windowHeight="11040" xr2:uid="{D9F63863-621E-433F-9749-66D42E979B5B}"/>
  </bookViews>
  <sheets>
    <sheet name="Sales" sheetId="1" r:id="rId1"/>
    <sheet name="Q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11" i="2"/>
  <c r="H12" i="2"/>
  <c r="H3" i="2"/>
  <c r="G4" i="2"/>
  <c r="G5" i="2"/>
  <c r="G6" i="2"/>
  <c r="G7" i="2"/>
  <c r="G8" i="2"/>
  <c r="G9" i="2"/>
  <c r="G10" i="2"/>
  <c r="G11" i="2"/>
  <c r="G12" i="2"/>
  <c r="G3" i="2"/>
  <c r="K17" i="1"/>
  <c r="H17" i="1"/>
  <c r="G17" i="1"/>
  <c r="K16" i="1"/>
  <c r="H16" i="1"/>
  <c r="G16" i="1"/>
  <c r="K15" i="1"/>
  <c r="H15" i="1"/>
  <c r="G15" i="1"/>
  <c r="K14" i="1"/>
  <c r="H14" i="1"/>
  <c r="G14" i="1"/>
  <c r="K13" i="1"/>
  <c r="H13" i="1"/>
  <c r="G13" i="1"/>
  <c r="K12" i="1"/>
  <c r="H12" i="1"/>
  <c r="G12" i="1"/>
  <c r="K11" i="1"/>
  <c r="H11" i="1"/>
  <c r="G11" i="1"/>
  <c r="K10" i="1"/>
  <c r="H10" i="1"/>
  <c r="G10" i="1"/>
  <c r="K9" i="1"/>
  <c r="H9" i="1"/>
  <c r="G9" i="1"/>
  <c r="K8" i="1"/>
  <c r="H8" i="1"/>
  <c r="G8" i="1"/>
  <c r="K7" i="1"/>
  <c r="H7" i="1"/>
  <c r="G7" i="1"/>
  <c r="K6" i="1"/>
  <c r="H6" i="1"/>
  <c r="G6" i="1"/>
  <c r="K5" i="1"/>
  <c r="H5" i="1"/>
  <c r="G5" i="1"/>
  <c r="K4" i="1"/>
  <c r="H4" i="1"/>
  <c r="G4" i="1"/>
  <c r="K3" i="1"/>
  <c r="H3" i="1"/>
  <c r="G3" i="1"/>
</calcChain>
</file>

<file path=xl/sharedStrings.xml><?xml version="1.0" encoding="utf-8"?>
<sst xmlns="http://schemas.openxmlformats.org/spreadsheetml/2006/main" count="95" uniqueCount="49">
  <si>
    <t>Category</t>
  </si>
  <si>
    <t>Promo Name</t>
  </si>
  <si>
    <t>End of Period Promotion</t>
  </si>
  <si>
    <t>Total Count</t>
  </si>
  <si>
    <t>Total Claim</t>
  </si>
  <si>
    <t>NOC</t>
  </si>
  <si>
    <t>Conversion Rate (Claim/Count)</t>
  </si>
  <si>
    <t>Sales Amount</t>
  </si>
  <si>
    <t>Net Sales (by Category)</t>
  </si>
  <si>
    <t>Contribution Sales</t>
  </si>
  <si>
    <t>HALAMAN PRODUK SPONSOR</t>
  </si>
  <si>
    <t>January 2026</t>
  </si>
  <si>
    <t>14</t>
  </si>
  <si>
    <t>PB HOMECARE FAIR</t>
  </si>
  <si>
    <t>SOS FAIR</t>
  </si>
  <si>
    <t>WINGS HOMECARE FAIR</t>
  </si>
  <si>
    <t>GBH FAIR</t>
  </si>
  <si>
    <t>NICE FAIR</t>
  </si>
  <si>
    <t>SWALLOW FAIR</t>
  </si>
  <si>
    <t>17</t>
  </si>
  <si>
    <t>PROMO SPESIAL INDOMIE GORENG</t>
  </si>
  <si>
    <t>PROMO SPESIAL INDOMIE SOTO &amp; AYAM BAWANG</t>
  </si>
  <si>
    <t>PROMO SPESIAL SEDAAP GRG</t>
  </si>
  <si>
    <t>PROMO SPESIAL SEDAAP SOTO</t>
  </si>
  <si>
    <t>19</t>
  </si>
  <si>
    <t>PROMO MARINA FAIR</t>
  </si>
  <si>
    <t xml:space="preserve">WING FAIR </t>
  </si>
  <si>
    <t>26</t>
  </si>
  <si>
    <t>FRISIAN FLAG FAIR</t>
  </si>
  <si>
    <t>27</t>
  </si>
  <si>
    <t>PROMO ARTABOGA FAIR 23</t>
  </si>
  <si>
    <t>Nama Promo</t>
  </si>
  <si>
    <t>Qty</t>
  </si>
  <si>
    <t>Bonus</t>
  </si>
  <si>
    <t>Left</t>
  </si>
  <si>
    <t>21</t>
  </si>
  <si>
    <t>PROMO SPESIAL SUPERMI &amp; SARIMI</t>
  </si>
  <si>
    <t>PROMO SARIMI ISI 2</t>
  </si>
  <si>
    <t>MAGGI SAUS TIRAM SCHT</t>
  </si>
  <si>
    <t>PROMO AJINOMOTO TERASI UDANG BUBUK</t>
  </si>
  <si>
    <t>PROMO KVI MASAKO AYAM/SAPI CAL RENCENG</t>
  </si>
  <si>
    <t>PROMO MASAKO AYAM/SAPI CALENDAR BANJARMASIN</t>
  </si>
  <si>
    <t>PROMO SAJIKU RENCENG (PULAU JAWA)</t>
  </si>
  <si>
    <t>PROMO LUWAK WHITE KOFFIE RCG 10X20G</t>
  </si>
  <si>
    <t>PROMO POCARI SWEAT PET 350ML</t>
  </si>
  <si>
    <t>Cat</t>
  </si>
  <si>
    <t>Conversion Rate(Claim/Count)</t>
  </si>
  <si>
    <t>Conversion Rate (Count/NOC)</t>
  </si>
  <si>
    <t>Conversion Rate(Count/NOC)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</si>
</sst>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3" fontId="0" fillId="0" borderId="1" xfId="0" applyNumberFormat="1" applyBorder="1" applyAlignment="1">
      <alignment horizontal="left" vertical="top" wrapText="1"/>
    </xf>
    <xf numFmtId="10" fontId="0" fillId="0" borderId="1" xfId="0" applyNumberFormat="1" applyBorder="1" applyAlignment="1">
      <alignment horizontal="left" vertical="top" wrapText="1"/>
    </xf>
    <xf numFmtId="10" fontId="2" fillId="0" borderId="1" xfId="0" applyNumberFormat="1" applyFont="1" applyBorder="1" applyAlignment="1">
      <alignment horizontal="left" vertical="top" wrapText="1"/>
    </xf>
    <xf numFmtId="3" fontId="3" fillId="0" borderId="1" xfId="0" applyNumberFormat="1" applyFont="1" applyBorder="1" applyAlignment="1">
      <alignment horizontal="left" vertical="top"/>
    </xf>
    <xf numFmtId="3" fontId="0" fillId="0" borderId="1" xfId="0" applyNumberFormat="1" applyBorder="1" applyAlignment="1">
      <alignment horizontal="left" vertical="top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B062-5B98-4C2C-8E98-CCAB11732FF4}">
  <dimension ref="A1:K17"/>
  <sheetViews>
    <sheetView tabSelected="1" workbookViewId="0">
      <selection activeCell="E11" sqref="E11"/>
    </sheetView>
  </sheetViews>
  <sheetFormatPr defaultRowHeight="15" x14ac:dyDescent="0.25"/>
  <cols>
    <col min="1" max="1" width="8.85546875" bestFit="1" customWidth="1"/>
    <col min="2" max="2" width="47.140625" customWidth="1"/>
    <col min="3" max="3" width="23.140625" bestFit="1" customWidth="1"/>
    <col min="4" max="4" width="11.140625" bestFit="1" customWidth="1"/>
    <col min="5" max="6" width="11.140625" customWidth="1"/>
    <col min="7" max="7" width="16.140625" bestFit="1" customWidth="1"/>
    <col min="8" max="8" width="16.140625" customWidth="1"/>
    <col min="9" max="9" width="13.28515625" bestFit="1" customWidth="1"/>
    <col min="10" max="10" width="22" bestFit="1" customWidth="1"/>
    <col min="11" max="11" width="17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47</v>
      </c>
      <c r="H1" s="1" t="s">
        <v>6</v>
      </c>
      <c r="I1" s="1" t="s">
        <v>7</v>
      </c>
      <c r="J1" s="2" t="s">
        <v>8</v>
      </c>
      <c r="K1" s="3" t="s">
        <v>9</v>
      </c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2"/>
      <c r="K2" s="3"/>
    </row>
    <row r="3" spans="1:11" x14ac:dyDescent="0.25">
      <c r="A3" s="4">
        <v>11</v>
      </c>
      <c r="B3" s="5" t="s">
        <v>10</v>
      </c>
      <c r="C3" s="4" t="s">
        <v>11</v>
      </c>
      <c r="D3" s="5">
        <v>23</v>
      </c>
      <c r="E3" s="5">
        <v>10</v>
      </c>
      <c r="F3" s="6">
        <v>242490</v>
      </c>
      <c r="G3" s="7">
        <f>D3/F3</f>
        <v>9.4849272134933402E-5</v>
      </c>
      <c r="H3" s="7">
        <f>E3/D3</f>
        <v>0.43478260869565216</v>
      </c>
      <c r="I3" s="6">
        <v>18089850</v>
      </c>
      <c r="J3" s="6">
        <v>80730444700</v>
      </c>
      <c r="K3" s="8">
        <f>I3/J3</f>
        <v>2.2407717518741724E-4</v>
      </c>
    </row>
    <row r="4" spans="1:11" x14ac:dyDescent="0.25">
      <c r="A4" s="4" t="s">
        <v>12</v>
      </c>
      <c r="B4" s="5" t="s">
        <v>13</v>
      </c>
      <c r="C4" s="4" t="s">
        <v>11</v>
      </c>
      <c r="D4" s="5">
        <v>5654</v>
      </c>
      <c r="E4" s="5">
        <v>1915</v>
      </c>
      <c r="F4" s="6">
        <v>242490</v>
      </c>
      <c r="G4" s="7">
        <f t="shared" ref="G4:G17" si="0">D4/F4</f>
        <v>2.3316425419604932E-2</v>
      </c>
      <c r="H4" s="7">
        <f t="shared" ref="H4:H17" si="1">E4/D4</f>
        <v>0.33869826671383091</v>
      </c>
      <c r="I4" s="6">
        <v>1760325420</v>
      </c>
      <c r="J4" s="6">
        <v>40121545420</v>
      </c>
      <c r="K4" s="8">
        <f t="shared" ref="K4:K17" si="2">I4/J4</f>
        <v>4.3874815926768958E-2</v>
      </c>
    </row>
    <row r="5" spans="1:11" x14ac:dyDescent="0.25">
      <c r="A5" s="4" t="s">
        <v>12</v>
      </c>
      <c r="B5" s="5" t="s">
        <v>14</v>
      </c>
      <c r="C5" s="4" t="s">
        <v>11</v>
      </c>
      <c r="D5" s="5">
        <v>1015</v>
      </c>
      <c r="E5" s="5">
        <v>370</v>
      </c>
      <c r="F5" s="6">
        <v>242490</v>
      </c>
      <c r="G5" s="7">
        <f t="shared" si="0"/>
        <v>4.185739618128583E-3</v>
      </c>
      <c r="H5" s="7">
        <f t="shared" si="1"/>
        <v>0.3645320197044335</v>
      </c>
      <c r="I5" s="6">
        <v>351177110</v>
      </c>
      <c r="J5" s="6">
        <v>40121545420</v>
      </c>
      <c r="K5" s="8">
        <f t="shared" si="2"/>
        <v>8.7528310867343462E-3</v>
      </c>
    </row>
    <row r="6" spans="1:11" x14ac:dyDescent="0.25">
      <c r="A6" s="4">
        <v>14</v>
      </c>
      <c r="B6" s="5" t="s">
        <v>15</v>
      </c>
      <c r="C6" s="4" t="s">
        <v>11</v>
      </c>
      <c r="D6" s="5">
        <v>8614</v>
      </c>
      <c r="E6" s="5">
        <v>3606</v>
      </c>
      <c r="F6" s="6">
        <v>242490</v>
      </c>
      <c r="G6" s="7">
        <f t="shared" si="0"/>
        <v>3.5523114355231145E-2</v>
      </c>
      <c r="H6" s="7">
        <f t="shared" si="1"/>
        <v>0.41862084977942882</v>
      </c>
      <c r="I6" s="6">
        <v>4717229608</v>
      </c>
      <c r="J6" s="6">
        <v>40121545420</v>
      </c>
      <c r="K6" s="8">
        <f t="shared" si="2"/>
        <v>0.11757347725814496</v>
      </c>
    </row>
    <row r="7" spans="1:11" x14ac:dyDescent="0.25">
      <c r="A7" s="4" t="s">
        <v>12</v>
      </c>
      <c r="B7" s="5" t="s">
        <v>16</v>
      </c>
      <c r="C7" s="4" t="s">
        <v>11</v>
      </c>
      <c r="D7" s="5">
        <v>2088</v>
      </c>
      <c r="E7" s="5">
        <v>1180</v>
      </c>
      <c r="F7" s="6">
        <v>242490</v>
      </c>
      <c r="G7" s="7">
        <f t="shared" si="0"/>
        <v>8.6106643572930845E-3</v>
      </c>
      <c r="H7" s="7">
        <f t="shared" si="1"/>
        <v>0.56513409961685823</v>
      </c>
      <c r="I7" s="6">
        <v>1267196369</v>
      </c>
      <c r="J7" s="6">
        <v>40121545420</v>
      </c>
      <c r="K7" s="8">
        <f t="shared" si="2"/>
        <v>3.1583937152339134E-2</v>
      </c>
    </row>
    <row r="8" spans="1:11" x14ac:dyDescent="0.25">
      <c r="A8" s="4" t="s">
        <v>12</v>
      </c>
      <c r="B8" s="5" t="s">
        <v>17</v>
      </c>
      <c r="C8" s="4" t="s">
        <v>11</v>
      </c>
      <c r="D8" s="5">
        <v>740</v>
      </c>
      <c r="E8" s="5">
        <v>251</v>
      </c>
      <c r="F8" s="6">
        <v>242490</v>
      </c>
      <c r="G8" s="7">
        <f t="shared" si="0"/>
        <v>3.051672233906553E-3</v>
      </c>
      <c r="H8" s="7">
        <f t="shared" si="1"/>
        <v>0.33918918918918917</v>
      </c>
      <c r="I8" s="6">
        <v>184498780</v>
      </c>
      <c r="J8" s="6">
        <v>40121545420</v>
      </c>
      <c r="K8" s="8">
        <f t="shared" si="2"/>
        <v>4.5984963457571621E-3</v>
      </c>
    </row>
    <row r="9" spans="1:11" x14ac:dyDescent="0.25">
      <c r="A9" s="4" t="s">
        <v>12</v>
      </c>
      <c r="B9" s="5" t="s">
        <v>18</v>
      </c>
      <c r="C9" s="4" t="s">
        <v>11</v>
      </c>
      <c r="D9" s="5">
        <v>5807</v>
      </c>
      <c r="E9" s="5">
        <v>2010</v>
      </c>
      <c r="F9" s="6">
        <v>242490</v>
      </c>
      <c r="G9" s="7">
        <f t="shared" si="0"/>
        <v>2.3947379273372097E-2</v>
      </c>
      <c r="H9" s="7">
        <f t="shared" si="1"/>
        <v>0.34613397623557773</v>
      </c>
      <c r="I9" s="6">
        <v>1238300490</v>
      </c>
      <c r="J9" s="9">
        <v>268274639435</v>
      </c>
      <c r="K9" s="8">
        <f t="shared" si="2"/>
        <v>4.6157940706133228E-3</v>
      </c>
    </row>
    <row r="10" spans="1:11" x14ac:dyDescent="0.25">
      <c r="A10" s="4" t="s">
        <v>19</v>
      </c>
      <c r="B10" s="5" t="s">
        <v>20</v>
      </c>
      <c r="C10" s="4" t="s">
        <v>11</v>
      </c>
      <c r="D10" s="5">
        <v>826</v>
      </c>
      <c r="E10" s="5">
        <v>619</v>
      </c>
      <c r="F10" s="6">
        <v>242490</v>
      </c>
      <c r="G10" s="7">
        <f t="shared" si="0"/>
        <v>3.4063260340632603E-3</v>
      </c>
      <c r="H10" s="7">
        <f t="shared" si="1"/>
        <v>0.74939467312348673</v>
      </c>
      <c r="I10" s="6">
        <v>715358780</v>
      </c>
      <c r="J10" s="9">
        <v>268274639435</v>
      </c>
      <c r="K10" s="8">
        <f t="shared" si="2"/>
        <v>2.6665166021901357E-3</v>
      </c>
    </row>
    <row r="11" spans="1:11" x14ac:dyDescent="0.25">
      <c r="A11" s="4" t="s">
        <v>19</v>
      </c>
      <c r="B11" s="5" t="s">
        <v>21</v>
      </c>
      <c r="C11" s="4" t="s">
        <v>11</v>
      </c>
      <c r="D11" s="5">
        <v>703</v>
      </c>
      <c r="E11" s="5">
        <v>427</v>
      </c>
      <c r="F11" s="6">
        <v>242490</v>
      </c>
      <c r="G11" s="7">
        <f t="shared" si="0"/>
        <v>2.899088622211225E-3</v>
      </c>
      <c r="H11" s="7">
        <f t="shared" si="1"/>
        <v>0.60739687055476532</v>
      </c>
      <c r="I11" s="6">
        <v>752054975</v>
      </c>
      <c r="J11" s="6">
        <v>804823918305</v>
      </c>
      <c r="K11" s="8">
        <f t="shared" si="2"/>
        <v>9.3443417609141873E-4</v>
      </c>
    </row>
    <row r="12" spans="1:11" x14ac:dyDescent="0.25">
      <c r="A12" s="4" t="s">
        <v>19</v>
      </c>
      <c r="B12" s="5" t="s">
        <v>22</v>
      </c>
      <c r="C12" s="4" t="s">
        <v>11</v>
      </c>
      <c r="D12" s="5">
        <v>1035</v>
      </c>
      <c r="E12" s="5">
        <v>858</v>
      </c>
      <c r="F12" s="6">
        <v>242490</v>
      </c>
      <c r="G12" s="7">
        <f t="shared" si="0"/>
        <v>4.2682172460720025E-3</v>
      </c>
      <c r="H12" s="7">
        <f t="shared" si="1"/>
        <v>0.82898550724637676</v>
      </c>
      <c r="I12" s="6">
        <v>875264046</v>
      </c>
      <c r="J12" s="9">
        <v>268274639435</v>
      </c>
      <c r="K12" s="8">
        <f t="shared" si="2"/>
        <v>3.2625672253007235E-3</v>
      </c>
    </row>
    <row r="13" spans="1:11" x14ac:dyDescent="0.25">
      <c r="A13" s="4" t="s">
        <v>19</v>
      </c>
      <c r="B13" s="5" t="s">
        <v>23</v>
      </c>
      <c r="C13" s="4" t="s">
        <v>11</v>
      </c>
      <c r="D13" s="5">
        <v>187</v>
      </c>
      <c r="E13" s="5">
        <v>156</v>
      </c>
      <c r="F13" s="6">
        <v>242490</v>
      </c>
      <c r="G13" s="7">
        <f t="shared" si="0"/>
        <v>7.7116582127098024E-4</v>
      </c>
      <c r="H13" s="7">
        <f t="shared" si="1"/>
        <v>0.83422459893048129</v>
      </c>
      <c r="I13" s="6">
        <v>422143245</v>
      </c>
      <c r="J13" s="9">
        <v>268274639435</v>
      </c>
      <c r="K13" s="8">
        <f t="shared" si="2"/>
        <v>1.5735488299939758E-3</v>
      </c>
    </row>
    <row r="14" spans="1:11" x14ac:dyDescent="0.25">
      <c r="A14" s="4" t="s">
        <v>24</v>
      </c>
      <c r="B14" s="5" t="s">
        <v>25</v>
      </c>
      <c r="C14" s="4" t="s">
        <v>11</v>
      </c>
      <c r="D14" s="5">
        <v>110</v>
      </c>
      <c r="E14" s="5">
        <v>0</v>
      </c>
      <c r="F14" s="6">
        <v>242490</v>
      </c>
      <c r="G14" s="7">
        <f t="shared" si="0"/>
        <v>4.5362695368881189E-4</v>
      </c>
      <c r="H14" s="7">
        <f t="shared" si="1"/>
        <v>0</v>
      </c>
      <c r="I14" s="6">
        <v>9331100</v>
      </c>
      <c r="J14" s="6">
        <v>13332983321</v>
      </c>
      <c r="K14" s="8">
        <f t="shared" si="2"/>
        <v>6.9985087173274503E-4</v>
      </c>
    </row>
    <row r="15" spans="1:11" x14ac:dyDescent="0.25">
      <c r="A15" s="4" t="s">
        <v>24</v>
      </c>
      <c r="B15" s="5" t="s">
        <v>26</v>
      </c>
      <c r="C15" s="4" t="s">
        <v>11</v>
      </c>
      <c r="D15" s="5">
        <v>3910</v>
      </c>
      <c r="E15" s="5">
        <v>790</v>
      </c>
      <c r="F15" s="6">
        <v>242490</v>
      </c>
      <c r="G15" s="7">
        <f t="shared" si="0"/>
        <v>1.6124376262938677E-2</v>
      </c>
      <c r="H15" s="7">
        <f t="shared" si="1"/>
        <v>0.20204603580562661</v>
      </c>
      <c r="I15" s="6">
        <v>528803180</v>
      </c>
      <c r="J15" s="6">
        <v>13332983321</v>
      </c>
      <c r="K15" s="8">
        <f t="shared" si="2"/>
        <v>3.9661279645277374E-2</v>
      </c>
    </row>
    <row r="16" spans="1:11" x14ac:dyDescent="0.25">
      <c r="A16" s="4" t="s">
        <v>27</v>
      </c>
      <c r="B16" s="5" t="s">
        <v>28</v>
      </c>
      <c r="C16" s="4" t="s">
        <v>11</v>
      </c>
      <c r="D16" s="5">
        <v>1998</v>
      </c>
      <c r="E16" s="5">
        <v>543</v>
      </c>
      <c r="F16" s="6">
        <v>242490</v>
      </c>
      <c r="G16" s="7">
        <f t="shared" si="0"/>
        <v>8.2395150315476926E-3</v>
      </c>
      <c r="H16" s="7">
        <f t="shared" si="1"/>
        <v>0.27177177177177175</v>
      </c>
      <c r="I16" s="6">
        <v>1931281685</v>
      </c>
      <c r="J16" s="6">
        <v>96545634995</v>
      </c>
      <c r="K16" s="8">
        <f t="shared" si="2"/>
        <v>2.0003821872423534E-2</v>
      </c>
    </row>
    <row r="17" spans="1:11" x14ac:dyDescent="0.25">
      <c r="A17" s="4" t="s">
        <v>29</v>
      </c>
      <c r="B17" s="5" t="s">
        <v>30</v>
      </c>
      <c r="C17" s="4" t="s">
        <v>11</v>
      </c>
      <c r="D17" s="5">
        <v>1066</v>
      </c>
      <c r="E17" s="5">
        <v>520</v>
      </c>
      <c r="F17" s="6">
        <v>242490</v>
      </c>
      <c r="G17" s="7">
        <f t="shared" si="0"/>
        <v>4.3960575693843046E-3</v>
      </c>
      <c r="H17" s="7">
        <f t="shared" si="1"/>
        <v>0.48780487804878048</v>
      </c>
      <c r="I17" s="6">
        <v>186550950</v>
      </c>
      <c r="J17" s="10">
        <v>73522238808</v>
      </c>
      <c r="K17" s="8">
        <f t="shared" si="2"/>
        <v>2.5373404431707986E-3</v>
      </c>
    </row>
  </sheetData>
  <mergeCells count="11">
    <mergeCell ref="F1:F2"/>
    <mergeCell ref="G1:G2"/>
    <mergeCell ref="H1:H2"/>
    <mergeCell ref="I1:I2"/>
    <mergeCell ref="J1:J2"/>
    <mergeCell ref="K1:K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44B08-55C5-45CB-A372-B639104ACD6D}">
  <dimension ref="A1:K12"/>
  <sheetViews>
    <sheetView workbookViewId="0">
      <selection activeCell="A3" sqref="A3"/>
    </sheetView>
  </sheetViews>
  <sheetFormatPr defaultRowHeight="15" x14ac:dyDescent="0.25"/>
  <cols>
    <col min="1" max="1" width="8.42578125" bestFit="1" customWidth="1"/>
    <col min="2" max="2" width="36.5703125" customWidth="1"/>
    <col min="3" max="3" width="19.7109375" bestFit="1" customWidth="1"/>
    <col min="4" max="4" width="11.140625" bestFit="1" customWidth="1"/>
    <col min="5" max="5" width="10.85546875" bestFit="1" customWidth="1"/>
    <col min="6" max="6" width="10.85546875" customWidth="1"/>
    <col min="7" max="8" width="13.28515625" customWidth="1"/>
    <col min="9" max="9" width="13.28515625" bestFit="1" customWidth="1"/>
    <col min="10" max="11" width="12.7109375" bestFit="1" customWidth="1"/>
  </cols>
  <sheetData>
    <row r="1" spans="1:11" ht="45" customHeight="1" x14ac:dyDescent="0.25">
      <c r="A1" s="11" t="s">
        <v>45</v>
      </c>
      <c r="B1" s="12" t="s">
        <v>31</v>
      </c>
      <c r="C1" s="11" t="s">
        <v>2</v>
      </c>
      <c r="D1" s="12" t="s">
        <v>3</v>
      </c>
      <c r="E1" s="12" t="s">
        <v>4</v>
      </c>
      <c r="F1" s="12" t="s">
        <v>5</v>
      </c>
      <c r="G1" s="12" t="s">
        <v>46</v>
      </c>
      <c r="H1" s="12" t="s">
        <v>48</v>
      </c>
      <c r="I1" s="11" t="s">
        <v>32</v>
      </c>
      <c r="J1" s="12" t="s">
        <v>33</v>
      </c>
      <c r="K1" s="12" t="s">
        <v>34</v>
      </c>
    </row>
    <row r="2" spans="1:11" x14ac:dyDescent="0.25">
      <c r="A2" s="11"/>
      <c r="B2" s="13"/>
      <c r="C2" s="11"/>
      <c r="D2" s="13"/>
      <c r="E2" s="13"/>
      <c r="F2" s="13"/>
      <c r="G2" s="13"/>
      <c r="H2" s="13"/>
      <c r="I2" s="11"/>
      <c r="J2" s="13"/>
      <c r="K2" s="13"/>
    </row>
    <row r="3" spans="1:11" x14ac:dyDescent="0.25">
      <c r="A3" s="4" t="s">
        <v>19</v>
      </c>
      <c r="B3" s="5" t="s">
        <v>37</v>
      </c>
      <c r="C3" s="4" t="s">
        <v>11</v>
      </c>
      <c r="D3" s="5">
        <v>57</v>
      </c>
      <c r="E3" s="5">
        <v>20</v>
      </c>
      <c r="F3" s="6">
        <v>242490</v>
      </c>
      <c r="G3" s="7">
        <f>E3/D3</f>
        <v>0.35087719298245612</v>
      </c>
      <c r="H3" s="7">
        <f>D3/F3</f>
        <v>2.3506123963874798E-4</v>
      </c>
      <c r="I3" s="6">
        <v>99</v>
      </c>
      <c r="J3" s="6">
        <v>42</v>
      </c>
      <c r="K3" s="6">
        <v>57</v>
      </c>
    </row>
    <row r="4" spans="1:11" x14ac:dyDescent="0.25">
      <c r="A4" s="4" t="s">
        <v>19</v>
      </c>
      <c r="B4" s="5" t="s">
        <v>36</v>
      </c>
      <c r="C4" s="4" t="s">
        <v>11</v>
      </c>
      <c r="D4" s="5">
        <v>171</v>
      </c>
      <c r="E4" s="5">
        <v>60</v>
      </c>
      <c r="F4" s="6">
        <v>242490</v>
      </c>
      <c r="G4" s="7">
        <f t="shared" ref="G4:G12" si="0">E4/D4</f>
        <v>0.35087719298245612</v>
      </c>
      <c r="H4" s="7">
        <f t="shared" ref="H4:H12" si="1">D4/F4</f>
        <v>7.0518371891624399E-4</v>
      </c>
      <c r="I4" s="6">
        <v>368</v>
      </c>
      <c r="J4" s="6">
        <v>88</v>
      </c>
      <c r="K4" s="6">
        <v>280</v>
      </c>
    </row>
    <row r="5" spans="1:11" x14ac:dyDescent="0.25">
      <c r="A5" s="4" t="s">
        <v>35</v>
      </c>
      <c r="B5" s="5" t="s">
        <v>38</v>
      </c>
      <c r="C5" s="4" t="s">
        <v>11</v>
      </c>
      <c r="D5" s="5">
        <v>5</v>
      </c>
      <c r="E5" s="5">
        <v>0</v>
      </c>
      <c r="F5" s="6">
        <v>242490</v>
      </c>
      <c r="G5" s="7">
        <f t="shared" si="0"/>
        <v>0</v>
      </c>
      <c r="H5" s="7">
        <f t="shared" si="1"/>
        <v>2.0619406985855085E-5</v>
      </c>
      <c r="I5" s="6">
        <v>6</v>
      </c>
      <c r="J5" s="6">
        <v>0</v>
      </c>
      <c r="K5" s="6">
        <v>6</v>
      </c>
    </row>
    <row r="6" spans="1:11" ht="30" x14ac:dyDescent="0.25">
      <c r="A6" s="4" t="s">
        <v>35</v>
      </c>
      <c r="B6" s="5" t="s">
        <v>39</v>
      </c>
      <c r="C6" s="4" t="s">
        <v>11</v>
      </c>
      <c r="D6" s="5">
        <v>105</v>
      </c>
      <c r="E6" s="5">
        <v>32</v>
      </c>
      <c r="F6" s="6">
        <v>242490</v>
      </c>
      <c r="G6" s="7">
        <f t="shared" si="0"/>
        <v>0.30476190476190479</v>
      </c>
      <c r="H6" s="7">
        <f t="shared" si="1"/>
        <v>4.3300754670295684E-4</v>
      </c>
      <c r="I6" s="6">
        <v>178</v>
      </c>
      <c r="J6" s="6">
        <v>88</v>
      </c>
      <c r="K6" s="6">
        <v>90</v>
      </c>
    </row>
    <row r="7" spans="1:11" ht="30" x14ac:dyDescent="0.25">
      <c r="A7" s="4" t="s">
        <v>35</v>
      </c>
      <c r="B7" s="5" t="s">
        <v>40</v>
      </c>
      <c r="C7" s="4" t="s">
        <v>11</v>
      </c>
      <c r="D7" s="5">
        <v>111</v>
      </c>
      <c r="E7" s="5">
        <v>59</v>
      </c>
      <c r="F7" s="6">
        <v>242490</v>
      </c>
      <c r="G7" s="7">
        <f t="shared" si="0"/>
        <v>0.53153153153153154</v>
      </c>
      <c r="H7" s="7">
        <f t="shared" si="1"/>
        <v>4.5775083508598294E-4</v>
      </c>
      <c r="I7" s="6">
        <v>8306</v>
      </c>
      <c r="J7" s="6">
        <v>2284</v>
      </c>
      <c r="K7" s="6">
        <v>6022</v>
      </c>
    </row>
    <row r="8" spans="1:11" ht="30" x14ac:dyDescent="0.25">
      <c r="A8" s="4" t="s">
        <v>35</v>
      </c>
      <c r="B8" s="5" t="s">
        <v>40</v>
      </c>
      <c r="C8" s="4" t="s">
        <v>11</v>
      </c>
      <c r="D8" s="5">
        <v>119</v>
      </c>
      <c r="E8" s="5">
        <v>68</v>
      </c>
      <c r="F8" s="6">
        <v>242490</v>
      </c>
      <c r="G8" s="7">
        <f t="shared" si="0"/>
        <v>0.5714285714285714</v>
      </c>
      <c r="H8" s="7">
        <f t="shared" si="1"/>
        <v>4.9074188626335106E-4</v>
      </c>
      <c r="I8" s="6">
        <v>4444</v>
      </c>
      <c r="J8" s="6">
        <v>402</v>
      </c>
      <c r="K8" s="6">
        <v>4042</v>
      </c>
    </row>
    <row r="9" spans="1:11" ht="30" x14ac:dyDescent="0.25">
      <c r="A9" s="4" t="s">
        <v>35</v>
      </c>
      <c r="B9" s="5" t="s">
        <v>41</v>
      </c>
      <c r="C9" s="4" t="s">
        <v>11</v>
      </c>
      <c r="D9" s="5">
        <v>170</v>
      </c>
      <c r="E9" s="5">
        <v>162</v>
      </c>
      <c r="F9" s="6">
        <v>242490</v>
      </c>
      <c r="G9" s="7">
        <f t="shared" si="0"/>
        <v>0.95294117647058818</v>
      </c>
      <c r="H9" s="7">
        <f t="shared" si="1"/>
        <v>7.0105983751907294E-4</v>
      </c>
      <c r="I9" s="6">
        <v>2207</v>
      </c>
      <c r="J9" s="6">
        <v>2179</v>
      </c>
      <c r="K9" s="6">
        <v>28</v>
      </c>
    </row>
    <row r="10" spans="1:11" ht="30" x14ac:dyDescent="0.25">
      <c r="A10" s="4" t="s">
        <v>35</v>
      </c>
      <c r="B10" s="5" t="s">
        <v>42</v>
      </c>
      <c r="C10" s="4" t="s">
        <v>11</v>
      </c>
      <c r="D10" s="5">
        <v>51</v>
      </c>
      <c r="E10" s="5">
        <v>15</v>
      </c>
      <c r="F10" s="6">
        <v>242490</v>
      </c>
      <c r="G10" s="7">
        <f t="shared" si="0"/>
        <v>0.29411764705882354</v>
      </c>
      <c r="H10" s="7">
        <f t="shared" si="1"/>
        <v>2.1031795125572188E-4</v>
      </c>
      <c r="I10" s="6">
        <v>65</v>
      </c>
      <c r="J10" s="6">
        <v>25</v>
      </c>
      <c r="K10" s="6">
        <v>40</v>
      </c>
    </row>
    <row r="11" spans="1:11" ht="30" x14ac:dyDescent="0.25">
      <c r="A11" s="4" t="s">
        <v>27</v>
      </c>
      <c r="B11" s="5" t="s">
        <v>43</v>
      </c>
      <c r="C11" s="4" t="s">
        <v>11</v>
      </c>
      <c r="D11" s="5">
        <v>41</v>
      </c>
      <c r="E11" s="5">
        <v>40</v>
      </c>
      <c r="F11" s="6">
        <v>242490</v>
      </c>
      <c r="G11" s="7">
        <f t="shared" si="0"/>
        <v>0.97560975609756095</v>
      </c>
      <c r="H11" s="7">
        <f t="shared" si="1"/>
        <v>1.690791372840117E-4</v>
      </c>
      <c r="I11" s="6">
        <v>41</v>
      </c>
      <c r="J11" s="6">
        <v>40</v>
      </c>
      <c r="K11" s="6">
        <v>1</v>
      </c>
    </row>
    <row r="12" spans="1:11" x14ac:dyDescent="0.25">
      <c r="A12" s="4" t="s">
        <v>29</v>
      </c>
      <c r="B12" s="5" t="s">
        <v>44</v>
      </c>
      <c r="C12" s="4" t="s">
        <v>11</v>
      </c>
      <c r="D12" s="5">
        <v>119</v>
      </c>
      <c r="E12" s="5">
        <v>39</v>
      </c>
      <c r="F12" s="6">
        <v>242490</v>
      </c>
      <c r="G12" s="7">
        <f t="shared" si="0"/>
        <v>0.32773109243697479</v>
      </c>
      <c r="H12" s="7">
        <f t="shared" si="1"/>
        <v>4.9074188626335106E-4</v>
      </c>
      <c r="I12" s="6">
        <v>193</v>
      </c>
      <c r="J12" s="6">
        <v>89</v>
      </c>
      <c r="K12" s="6">
        <v>104</v>
      </c>
    </row>
  </sheetData>
  <mergeCells count="11">
    <mergeCell ref="K1:K2"/>
    <mergeCell ref="F1:F2"/>
    <mergeCell ref="G1:G2"/>
    <mergeCell ref="H1:H2"/>
    <mergeCell ref="C1:C2"/>
    <mergeCell ref="I1:I2"/>
    <mergeCell ref="B1:B2"/>
    <mergeCell ref="D1:D2"/>
    <mergeCell ref="E1:E2"/>
    <mergeCell ref="J1:J2"/>
    <mergeCell ref="A1:A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Qty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2026-02-02T06:36:26Z</dcterms:created>
  <dcterms:modified xsi:type="dcterms:W3CDTF">2026-02-02T07:04:41Z</dcterms:modified>
</cp:coreProperties>
</file>